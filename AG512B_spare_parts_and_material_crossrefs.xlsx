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d40583997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_Summary" sheetId="1" r:id="Re0b481bdbb7d4697"/>
    <x:sheet xmlns:r="http://schemas.openxmlformats.org/officeDocument/2006/relationships" name="Compatibility_Matrix" sheetId="2" r:id="Rc7ec755abd594d3e"/>
    <x:sheet xmlns:r="http://schemas.openxmlformats.org/officeDocument/2006/relationships" name="Delivery_Records" sheetId="3" r:id="Rc7a8a97ecff246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1F4E78"/>
      </x:font>
      <x:fill>
        <x:patternFill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b090d175d4fab" /><Relationship Type="http://schemas.openxmlformats.org/officeDocument/2006/relationships/theme" Target="/xl/theme/theme1.xml" Id="R4cb33837d687420f" /><Relationship Type="http://schemas.openxmlformats.org/officeDocument/2006/relationships/sharedStrings" Target="/xl/sharedStrings.xml" Id="R1e9b6e4a8e4d4c4c" /><Relationship Type="http://schemas.openxmlformats.org/officeDocument/2006/relationships/worksheet" Target="/xl/worksheets/sheet1.xml" Id="Re0b481bdbb7d4697" /><Relationship Type="http://schemas.openxmlformats.org/officeDocument/2006/relationships/worksheet" Target="/xl/worksheets/sheet2.xml" Id="Rc7ec755abd594d3e" /><Relationship Type="http://schemas.openxmlformats.org/officeDocument/2006/relationships/worksheet" Target="/xl/worksheets/sheet3.xml" Id="Rc7a8a97ecff2462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0" hidden="0" customWidth="1"/>
    <x:col min="4" max="4" width="16" hidden="0" customWidth="1"/>
    <x:col min="5" max="5" width="40" hidden="0" customWidth="1"/>
    <x:col min="6" max="6" width="16" hidden="0" customWidth="1"/>
  </x:cols>
  <x:sheetData>
    <x:row r="1">
      <x:c r="A1" s="18" t="str">
        <x:v>quote_line</x:v>
      </x:c>
      <x:c r="B1" s="19" t="str">
        <x:v>category</x:v>
      </x:c>
      <x:c r="C1" s="19" t="str">
        <x:v>quoted_part</x:v>
      </x:c>
      <x:c r="D1" s="19" t="str">
        <x:v>quoted_status</x:v>
      </x:c>
      <x:c r="E1" s="19" t="str">
        <x:v>vendor_note</x:v>
      </x:c>
      <x:c r="F1" s="20" t="str">
        <x:v>vendor</x:v>
      </x:c>
    </x:row>
    <x:row r="2">
      <x:c r="A2" s="21" t="str">
        <x:v>Q-512-001</x:v>
      </x:c>
      <x:c r="B2" s="15" t="str">
        <x:v>Coupling insert</x:v>
      </x:c>
      <x:c r="C2" s="15" t="str">
        <x:v>TF-290-E95</x:v>
      </x:c>
      <x:c r="D2" s="15" t="str">
        <x:v>ACCEPTED</x:v>
      </x:c>
      <x:c r="E2" s="15" t="str">
        <x:v>Current coupling model</x:v>
      </x:c>
      <x:c r="F2" s="22" t="str">
        <x:v>Vendor A</x:v>
      </x:c>
    </x:row>
    <x:row r="3">
      <x:c r="A3" s="21" t="str">
        <x:v>Q-512-002</x:v>
      </x:c>
      <x:c r="B3" s="15" t="str">
        <x:v>Coupling insert</x:v>
      </x:c>
      <x:c r="C3" s="15" t="str">
        <x:v>GF-260-E82</x:v>
      </x:c>
      <x:c r="D3" s="15" t="str">
        <x:v>ACCEPTED</x:v>
      </x:c>
      <x:c r="E3" s="15" t="str">
        <x:v>Legacy coupling family</x:v>
      </x:c>
      <x:c r="F3" s="22" t="str">
        <x:v>Vendor B</x:v>
      </x:c>
    </x:row>
    <x:row r="4">
      <x:c r="A4" s="21" t="str">
        <x:v>Q-512-003</x:v>
      </x:c>
      <x:c r="B4" s="15" t="str">
        <x:v>Gearbox lubricant</x:v>
      </x:c>
      <x:c r="C4" s="15" t="str">
        <x:v>PAG-320-SYN</x:v>
      </x:c>
      <x:c r="D4" s="15" t="str">
        <x:v>ACCEPTED</x:v>
      </x:c>
      <x:c r="E4" s="15" t="str">
        <x:v>Current lubricant</x:v>
      </x:c>
      <x:c r="F4" s="22" t="str">
        <x:v>Vendor A</x:v>
      </x:c>
    </x:row>
    <x:row r="5">
      <x:c r="A5" s="21" t="str">
        <x:v>Q-512-004</x:v>
      </x:c>
      <x:c r="B5" s="15" t="str">
        <x:v>Gearbox lubricant</x:v>
      </x:c>
      <x:c r="C5" s="15" t="str">
        <x:v>EP150-MIN</x:v>
      </x:c>
      <x:c r="D5" s="15" t="str">
        <x:v>ACCEPTED</x:v>
      </x:c>
      <x:c r="E5" s="15" t="str">
        <x:v>Legacy mineral lubricant</x:v>
      </x:c>
      <x:c r="F5" s="22" t="str">
        <x:v>Vendor C</x:v>
      </x:c>
    </x:row>
    <x:row r="6">
      <x:c r="A6" s="21" t="str">
        <x:v>Q-512-005</x:v>
      </x:c>
      <x:c r="B6" s="15" t="str">
        <x:v>Shaft-seal kit</x:v>
      </x:c>
      <x:c r="C6" s="15" t="str">
        <x:v>MSK-DP54-120-FKM</x:v>
      </x:c>
      <x:c r="D6" s="15" t="str">
        <x:v>ACCEPTED</x:v>
      </x:c>
      <x:c r="E6" s="15" t="str">
        <x:v>Current 120 mm Plan 54 seal</x:v>
      </x:c>
      <x:c r="F6" s="22" t="str">
        <x:v>Vendor A</x:v>
      </x:c>
    </x:row>
    <x:row r="7">
      <x:c r="A7" s="21" t="str">
        <x:v>Q-512-006</x:v>
      </x:c>
      <x:c r="B7" s="15" t="str">
        <x:v>Shaft-seal kit</x:v>
      </x:c>
      <x:c r="C7" s="15" t="str">
        <x:v>LIP-108-NBR</x:v>
      </x:c>
      <x:c r="D7" s="15" t="str">
        <x:v>ACCEPTED</x:v>
      </x:c>
      <x:c r="E7" s="15" t="str">
        <x:v>Legacy 108 mm seal</x:v>
      </x:c>
      <x:c r="F7" s="22" t="str">
        <x:v>Vendor B</x:v>
      </x:c>
    </x:row>
    <x:row r="8">
      <x:c r="A8" s="21" t="str">
        <x:v>Q-512-007</x:v>
      </x:c>
      <x:c r="B8" s="15" t="str">
        <x:v>Bearing set</x:v>
      </x:c>
      <x:c r="C8" s="15" t="str">
        <x:v>BRG-SET-512B-C3</x:v>
      </x:c>
      <x:c r="D8" s="15" t="str">
        <x:v>ACCEPTED</x:v>
      </x:c>
      <x:c r="E8" s="15" t="str">
        <x:v>Current C3-clearance set</x:v>
      </x:c>
      <x:c r="F8" s="22" t="str">
        <x:v>Vendor A</x:v>
      </x:c>
    </x:row>
    <x:row r="9">
      <x:c r="A9" s="21" t="str">
        <x:v>Q-512-008</x:v>
      </x:c>
      <x:c r="B9" s="15" t="str">
        <x:v>Bearing set</x:v>
      </x:c>
      <x:c r="C9" s="15" t="str">
        <x:v>BRG-SET-512B-CN</x:v>
      </x:c>
      <x:c r="D9" s="15" t="str">
        <x:v>ACCEPTED</x:v>
      </x:c>
      <x:c r="E9" s="15" t="str">
        <x:v>Normal-clearance substitute</x:v>
      </x:c>
      <x:c r="F9" s="22" t="str">
        <x:v>Vendor C</x:v>
      </x:c>
    </x:row>
    <x:row r="10">
      <x:c r="A10" s="21" t="str">
        <x:v>Q-512-009</x:v>
      </x:c>
      <x:c r="B10" s="15" t="str">
        <x:v>Fastener kit</x:v>
      </x:c>
      <x:c r="C10" s="15" t="str">
        <x:v>CPG-M24-10.9-LP</x:v>
      </x:c>
      <x:c r="D10" s="15" t="str">
        <x:v>ACCEPTED</x:v>
      </x:c>
      <x:c r="E10" s="15" t="str">
        <x:v>Current coupling bolts and locking plates</x:v>
      </x:c>
      <x:c r="F10" s="22" t="str">
        <x:v>Vendor A</x:v>
      </x:c>
    </x:row>
    <x:row r="11">
      <x:c r="A11" s="21" t="str">
        <x:v>Q-512-010</x:v>
      </x:c>
      <x:c r="B11" s="15" t="str">
        <x:v>Fastener kit</x:v>
      </x:c>
      <x:c r="C11" s="15" t="str">
        <x:v>CPG-M20-8.8-NL</x:v>
      </x:c>
      <x:c r="D11" s="15" t="str">
        <x:v>ACCEPTED</x:v>
      </x:c>
      <x:c r="E11" s="15" t="str">
        <x:v>Legacy drawing</x:v>
      </x:c>
      <x:c r="F11" s="22" t="str">
        <x:v>Vendor B</x:v>
      </x:c>
    </x:row>
    <x:row r="12">
      <x:c r="A12" s="21" t="str">
        <x:v>Q-512-011</x:v>
      </x:c>
      <x:c r="B12" s="15" t="str">
        <x:v>Guard components</x:v>
      </x:c>
      <x:c r="C12" s="15" t="str">
        <x:v>GRD-512B-M12-A4</x:v>
      </x:c>
      <x:c r="D12" s="15" t="str">
        <x:v>ACCEPTED</x:v>
      </x:c>
      <x:c r="E12" s="15" t="str">
        <x:v>Current split stainless guard</x:v>
      </x:c>
      <x:c r="F12" s="22" t="str">
        <x:v>Vendor A</x:v>
      </x:c>
    </x:row>
    <x:row r="13">
      <x:c r="A13" s="23" t="str">
        <x:v>Q-512-012</x:v>
      </x:c>
      <x:c r="B13" s="24" t="str">
        <x:v>Guard components</x:v>
      </x:c>
      <x:c r="C13" s="24" t="str">
        <x:v>GRD-512B-M10-ZN</x:v>
      </x:c>
      <x:c r="D13" s="24" t="str">
        <x:v>ACCEPTED</x:v>
      </x:c>
      <x:c r="E13" s="24" t="str">
        <x:v>Legacy zinc hardware</x:v>
      </x:c>
      <x:c r="F13" s="25" t="str">
        <x:v>Vendor 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2" hidden="0" customWidth="1"/>
    <x:col min="4" max="4" width="40" hidden="0" customWidth="1"/>
    <x:col min="5" max="5" width="22" hidden="0" customWidth="1"/>
    <x:col min="6" max="6" width="18" hidden="0" customWidth="1"/>
    <x:col min="7" max="7" width="20" hidden="0" customWidth="1"/>
    <x:col min="8" max="8" width="52" hidden="0" customWidth="1"/>
  </x:cols>
  <x:sheetData>
    <x:row r="1">
      <x:c r="A1" s="18" t="str">
        <x:v>record_id</x:v>
      </x:c>
      <x:c r="B1" s="19" t="str">
        <x:v>part_number</x:v>
      </x:c>
      <x:c r="C1" s="19" t="str">
        <x:v>category</x:v>
      </x:c>
      <x:c r="D1" s="19" t="str">
        <x:v>current_installed_requirement</x:v>
      </x:c>
      <x:c r="E1" s="19" t="str">
        <x:v>fit_or_material_check</x:v>
      </x:c>
      <x:c r="F1" s="19" t="str">
        <x:v>evidence_status</x:v>
      </x:c>
      <x:c r="G1" s="19" t="str">
        <x:v>final_compatibility</x:v>
      </x:c>
      <x:c r="H1" s="20" t="str">
        <x:v>evidence_note</x:v>
      </x:c>
    </x:row>
    <x:row r="2">
      <x:c r="A2" s="21" t="str">
        <x:v>CMP-001</x:v>
      </x:c>
      <x:c r="B2" s="15" t="str">
        <x:v>TF-290-E95</x:v>
      </x:c>
      <x:c r="C2" s="15" t="str">
        <x:v>Coupling insert</x:v>
      </x:c>
      <x:c r="D2" s="15" t="str">
        <x:v>TorsionFlex TF-290-D</x:v>
      </x:c>
      <x:c r="E2" s="15" t="str">
        <x:v>MATCH</x:v>
      </x:c>
      <x:c r="F2" s="15" t="str">
        <x:v>CORROBORATED</x:v>
      </x:c>
      <x:c r="G2" s="15" t="str">
        <x:v>COMPATIBLE</x:v>
      </x:c>
      <x:c r="H2" s="22" t="str">
        <x:v>WO-512-02; CFI-004</x:v>
      </x:c>
    </x:row>
    <x:row r="3">
      <x:c r="A3" s="21" t="str">
        <x:v>CMP-002</x:v>
      </x:c>
      <x:c r="B3" s="15" t="str">
        <x:v>GF-260-E82</x:v>
      </x:c>
      <x:c r="C3" s="15" t="str">
        <x:v>Coupling insert</x:v>
      </x:c>
      <x:c r="D3" s="15" t="str">
        <x:v>TorsionFlex TF-290-D</x:v>
      </x:c>
      <x:c r="E3" s="15" t="str">
        <x:v>NO_MATCH</x:v>
      </x:c>
      <x:c r="F3" s="15" t="str">
        <x:v>QUOTE_ONLY</x:v>
      </x:c>
      <x:c r="G3" s="15" t="str">
        <x:v>INCOMPATIBLE</x:v>
      </x:c>
      <x:c r="H3" s="22" t="str">
        <x:v>Legacy coupling family</x:v>
      </x:c>
    </x:row>
    <x:row r="4">
      <x:c r="A4" s="21" t="str">
        <x:v>CMP-003</x:v>
      </x:c>
      <x:c r="B4" s="15" t="str">
        <x:v>PAG-320-SYN</x:v>
      </x:c>
      <x:c r="C4" s="15" t="str">
        <x:v>Gearbox lubricant</x:v>
      </x:c>
      <x:c r="D4" s="15" t="str">
        <x:v>SynLube PAG ISO VG 320</x:v>
      </x:c>
      <x:c r="E4" s="15" t="str">
        <x:v>MATCH</x:v>
      </x:c>
      <x:c r="F4" s="15" t="str">
        <x:v>CORROBORATED</x:v>
      </x:c>
      <x:c r="G4" s="15" t="str">
        <x:v>COMPATIBLE</x:v>
      </x:c>
      <x:c r="H4" s="22" t="str">
        <x:v>NFS-015; OIL-F-01; WO-512-05</x:v>
      </x:c>
    </x:row>
    <x:row r="5">
      <x:c r="A5" s="21" t="str">
        <x:v>CMP-004</x:v>
      </x:c>
      <x:c r="B5" s="15" t="str">
        <x:v>EP150-MIN</x:v>
      </x:c>
      <x:c r="C5" s="15" t="str">
        <x:v>Gearbox lubricant</x:v>
      </x:c>
      <x:c r="D5" s="15" t="str">
        <x:v>SynLube PAG ISO VG 320</x:v>
      </x:c>
      <x:c r="E5" s="15" t="str">
        <x:v>NO_MATCH</x:v>
      </x:c>
      <x:c r="F5" s="15" t="str">
        <x:v>QUOTE_ONLY</x:v>
      </x:c>
      <x:c r="G5" s="15" t="str">
        <x:v>INCOMPATIBLE</x:v>
      </x:c>
      <x:c r="H5" s="22" t="str">
        <x:v>Mineral oil incompatible with current PAG requirement</x:v>
      </x:c>
    </x:row>
    <x:row r="6">
      <x:c r="A6" s="21" t="str">
        <x:v>CMP-005</x:v>
      </x:c>
      <x:c r="B6" s="15" t="str">
        <x:v>MSK-DP54-120-FKM</x:v>
      </x:c>
      <x:c r="C6" s="15" t="str">
        <x:v>Shaft-seal kit</x:v>
      </x:c>
      <x:c r="D6" s="15" t="str">
        <x:v>120 mm dual pressurized Plan 54 FKM</x:v>
      </x:c>
      <x:c r="E6" s="15" t="str">
        <x:v>MATCH</x:v>
      </x:c>
      <x:c r="F6" s="15" t="str">
        <x:v>CORROBORATED</x:v>
      </x:c>
      <x:c r="G6" s="15" t="str">
        <x:v>COMPATIBLE</x:v>
      </x:c>
      <x:c r="H6" s="22" t="str">
        <x:v>NFS-012; NFS-016; WO-512-04</x:v>
      </x:c>
    </x:row>
    <x:row r="7">
      <x:c r="A7" s="21" t="str">
        <x:v>CMP-006</x:v>
      </x:c>
      <x:c r="B7" s="15" t="str">
        <x:v>LIP-108-NBR</x:v>
      </x:c>
      <x:c r="C7" s="15" t="str">
        <x:v>Shaft-seal kit</x:v>
      </x:c>
      <x:c r="D7" s="15" t="str">
        <x:v>120 mm dual pressurized Plan 54 FKM</x:v>
      </x:c>
      <x:c r="E7" s="15" t="str">
        <x:v>NO_MATCH</x:v>
      </x:c>
      <x:c r="F7" s="15" t="str">
        <x:v>QUOTE_ONLY</x:v>
      </x:c>
      <x:c r="G7" s="15" t="str">
        <x:v>INCOMPATIBLE</x:v>
      </x:c>
      <x:c r="H7" s="22" t="str">
        <x:v>Wrong diameter, arrangement, and elastomer</x:v>
      </x:c>
    </x:row>
    <x:row r="8">
      <x:c r="A8" s="21" t="str">
        <x:v>CMP-007</x:v>
      </x:c>
      <x:c r="B8" s="15" t="str">
        <x:v>BRG-SET-512B-C3</x:v>
      </x:c>
      <x:c r="C8" s="15" t="str">
        <x:v>Bearing set</x:v>
      </x:c>
      <x:c r="D8" s="15" t="str">
        <x:v>Current C3-clearance bearing set</x:v>
      </x:c>
      <x:c r="E8" s="15" t="str">
        <x:v>MATCH</x:v>
      </x:c>
      <x:c r="F8" s="15" t="str">
        <x:v>CORROBORATED</x:v>
      </x:c>
      <x:c r="G8" s="15" t="str">
        <x:v>COMPATIBLE</x:v>
      </x:c>
      <x:c r="H8" s="22" t="str">
        <x:v>NFS-020:NFS-025; WO-512-03</x:v>
      </x:c>
    </x:row>
    <x:row r="9">
      <x:c r="A9" s="21" t="str">
        <x:v>CMP-008</x:v>
      </x:c>
      <x:c r="B9" s="15" t="str">
        <x:v>BRG-SET-512B-CN</x:v>
      </x:c>
      <x:c r="C9" s="15" t="str">
        <x:v>Bearing set</x:v>
      </x:c>
      <x:c r="D9" s="15" t="str">
        <x:v>Current C3-clearance bearing set</x:v>
      </x:c>
      <x:c r="E9" s="15" t="str">
        <x:v>NO_MATCH</x:v>
      </x:c>
      <x:c r="F9" s="15" t="str">
        <x:v>QUOTE_ONLY</x:v>
      </x:c>
      <x:c r="G9" s="15" t="str">
        <x:v>INCOMPATIBLE</x:v>
      </x:c>
      <x:c r="H9" s="22" t="str">
        <x:v>Normal-clearance substitute</x:v>
      </x:c>
    </x:row>
    <x:row r="10">
      <x:c r="A10" s="21" t="str">
        <x:v>CMP-009</x:v>
      </x:c>
      <x:c r="B10" s="15" t="str">
        <x:v>CPG-M24-10.9-LP</x:v>
      </x:c>
      <x:c r="C10" s="15" t="str">
        <x:v>Fastener kit</x:v>
      </x:c>
      <x:c r="D10" s="15" t="str">
        <x:v>M24 x 3.0 grade 10.9 with locking plates</x:v>
      </x:c>
      <x:c r="E10" s="15" t="str">
        <x:v>MATCH</x:v>
      </x:c>
      <x:c r="F10" s="15" t="str">
        <x:v>CORROBORATED</x:v>
      </x:c>
      <x:c r="G10" s="15" t="str">
        <x:v>COMPATIBLE</x:v>
      </x:c>
      <x:c r="H10" s="22" t="str">
        <x:v>CFI Section 2; WO Section 2</x:v>
      </x:c>
    </x:row>
    <x:row r="11">
      <x:c r="A11" s="21" t="str">
        <x:v>CMP-010</x:v>
      </x:c>
      <x:c r="B11" s="15" t="str">
        <x:v>CPG-M20-8.8-NL</x:v>
      </x:c>
      <x:c r="C11" s="15" t="str">
        <x:v>Fastener kit</x:v>
      </x:c>
      <x:c r="D11" s="15" t="str">
        <x:v>M24 x 3.0 grade 10.9 with locking plates</x:v>
      </x:c>
      <x:c r="E11" s="15" t="str">
        <x:v>NO_MATCH</x:v>
      </x:c>
      <x:c r="F11" s="15" t="str">
        <x:v>QUOTE_ONLY</x:v>
      </x:c>
      <x:c r="G11" s="15" t="str">
        <x:v>INCOMPATIBLE</x:v>
      </x:c>
      <x:c r="H11" s="22" t="str">
        <x:v>Wrong size, grade, and locking method</x:v>
      </x:c>
    </x:row>
    <x:row r="12">
      <x:c r="A12" s="21" t="str">
        <x:v>CMP-011</x:v>
      </x:c>
      <x:c r="B12" s="15" t="str">
        <x:v>GRD-512B-M12-A4</x:v>
      </x:c>
      <x:c r="C12" s="15" t="str">
        <x:v>Guard components</x:v>
      </x:c>
      <x:c r="D12" s="15" t="str">
        <x:v>Split stainless guard with M12 A4 fasteners</x:v>
      </x:c>
      <x:c r="E12" s="15" t="str">
        <x:v>MATCH</x:v>
      </x:c>
      <x:c r="F12" s="15" t="str">
        <x:v>CORROBORATED</x:v>
      </x:c>
      <x:c r="G12" s="15" t="str">
        <x:v>COMPATIBLE</x:v>
      </x:c>
      <x:c r="H12" s="22" t="str">
        <x:v>WO-512-06; GF-01</x:v>
      </x:c>
    </x:row>
    <x:row r="13">
      <x:c r="A13" s="23" t="str">
        <x:v>CMP-012</x:v>
      </x:c>
      <x:c r="B13" s="24" t="str">
        <x:v>GRD-512B-M10-ZN</x:v>
      </x:c>
      <x:c r="C13" s="24" t="str">
        <x:v>Guard components</x:v>
      </x:c>
      <x:c r="D13" s="24" t="str">
        <x:v>Split stainless guard with M12 A4 fasteners</x:v>
      </x:c>
      <x:c r="E13" s="24" t="str">
        <x:v>NO_MATCH</x:v>
      </x:c>
      <x:c r="F13" s="24" t="str">
        <x:v>QUOTE_ONLY</x:v>
      </x:c>
      <x:c r="G13" s="24" t="str">
        <x:v>INCOMPATIBLE</x:v>
      </x:c>
      <x:c r="H13" s="25" t="str">
        <x:v>Wrong size and material</x:v>
      </x:c>
    </x:row>
  </x:sheetData>
  <x:conditionalFormatting sqref="G2:G13">
    <x:cfRule type="expression" dxfId="0" priority="1">
      <x:formula>$G2="PASS"</x:formula>
    </x:cfRule>
    <x:cfRule type="expression" dxfId="1" priority="2">
      <x:formula>$G2="FAIL"</x:formula>
    </x:cfRule>
    <x:cfRule type="expression" dxfId="2" priority="3">
      <x:formula>$G2="OPEN_ITEM"</x:formula>
    </x:cfRule>
    <x:cfRule type="expression" dxfId="3" priority="4">
      <x:formula>$G2="CONFLICT"</x:formula>
    </x:cfRule>
    <x:cfRule type="expression" dxfId="4" priority="5">
      <x:formula>$G2="SUPERSEDED"</x:formula>
    </x:cfRule>
    <x:cfRule type="expression" dxfId="5" priority="6">
      <x:formula>$G2="DERIVED"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2" hidden="0" customWidth="1"/>
    <x:col min="5" max="5" width="16" hidden="0" customWidth="1"/>
    <x:col min="6" max="6" width="18" hidden="0" customWidth="1"/>
  </x:cols>
  <x:sheetData>
    <x:row r="1">
      <x:c r="A1" s="18" t="str">
        <x:v>delivery_id</x:v>
      </x:c>
      <x:c r="B1" s="19" t="str">
        <x:v>part_number</x:v>
      </x:c>
      <x:c r="C1" s="19" t="str">
        <x:v>received_date</x:v>
      </x:c>
      <x:c r="D1" s="19" t="str">
        <x:v>quantity</x:v>
      </x:c>
      <x:c r="E1" s="19" t="str">
        <x:v>status</x:v>
      </x:c>
      <x:c r="F1" s="20" t="str">
        <x:v>linked_work_order</x:v>
      </x:c>
    </x:row>
    <x:row r="2">
      <x:c r="A2" s="21" t="str">
        <x:v>DEL-512-001</x:v>
      </x:c>
      <x:c r="B2" s="15" t="str">
        <x:v>TF-290-E95</x:v>
      </x:c>
      <x:c r="C2" s="15" t="str">
        <x:v>2026-06-12</x:v>
      </x:c>
      <x:c r="D2" s="34" t="n">
        <x:v>1</x:v>
      </x:c>
      <x:c r="E2" s="15" t="str">
        <x:v>RECEIVED</x:v>
      </x:c>
      <x:c r="F2" s="22" t="str">
        <x:v>WO-512-02</x:v>
      </x:c>
    </x:row>
    <x:row r="3">
      <x:c r="A3" s="21" t="str">
        <x:v>DEL-512-002</x:v>
      </x:c>
      <x:c r="B3" s="15" t="str">
        <x:v>PAG-320-SYN</x:v>
      </x:c>
      <x:c r="C3" s="15" t="str">
        <x:v>2026-06-13</x:v>
      </x:c>
      <x:c r="D3" s="34" t="n">
        <x:v>360</x:v>
      </x:c>
      <x:c r="E3" s="15" t="str">
        <x:v>RECEIVED</x:v>
      </x:c>
      <x:c r="F3" s="22" t="str">
        <x:v>WO-512-05</x:v>
      </x:c>
    </x:row>
    <x:row r="4">
      <x:c r="A4" s="21" t="str">
        <x:v>DEL-512-003</x:v>
      </x:c>
      <x:c r="B4" s="15" t="str">
        <x:v>MSK-DP54-120-FKM</x:v>
      </x:c>
      <x:c r="C4" s="15" t="str">
        <x:v>2026-06-14</x:v>
      </x:c>
      <x:c r="D4" s="34" t="n">
        <x:v>1</x:v>
      </x:c>
      <x:c r="E4" s="15" t="str">
        <x:v>RECEIVED</x:v>
      </x:c>
      <x:c r="F4" s="22" t="str">
        <x:v>WO-512-04</x:v>
      </x:c>
    </x:row>
    <x:row r="5">
      <x:c r="A5" s="21" t="str">
        <x:v>DEL-512-004</x:v>
      </x:c>
      <x:c r="B5" s="15" t="str">
        <x:v>BRG-SET-512B-C3</x:v>
      </x:c>
      <x:c r="C5" s="15" t="str">
        <x:v>2026-06-14</x:v>
      </x:c>
      <x:c r="D5" s="34" t="n">
        <x:v>1</x:v>
      </x:c>
      <x:c r="E5" s="15" t="str">
        <x:v>RECEIVED</x:v>
      </x:c>
      <x:c r="F5" s="22" t="str">
        <x:v>WO-512-03</x:v>
      </x:c>
    </x:row>
    <x:row r="6">
      <x:c r="A6" s="21" t="str">
        <x:v>DEL-512-005</x:v>
      </x:c>
      <x:c r="B6" s="15" t="str">
        <x:v>CPG-M24-10.9-LP</x:v>
      </x:c>
      <x:c r="C6" s="15" t="str">
        <x:v>2026-06-15</x:v>
      </x:c>
      <x:c r="D6" s="34" t="n">
        <x:v>8</x:v>
      </x:c>
      <x:c r="E6" s="15" t="str">
        <x:v>RECEIVED</x:v>
      </x:c>
      <x:c r="F6" s="22" t="str">
        <x:v>WO-512-02</x:v>
      </x:c>
    </x:row>
    <x:row r="7">
      <x:c r="A7" s="23" t="str">
        <x:v>DEL-512-006</x:v>
      </x:c>
      <x:c r="B7" s="24" t="str">
        <x:v>GRD-512B-M12-A4</x:v>
      </x:c>
      <x:c r="C7" s="24" t="str">
        <x:v>2026-06-15</x:v>
      </x:c>
      <x:c r="D7" s="35" t="n">
        <x:v>10</x:v>
      </x:c>
      <x:c r="E7" s="24" t="str">
        <x:v>RECEIVED</x:v>
      </x:c>
      <x:c r="F7" s="25" t="str">
        <x:v>WO-512-06</x:v>
      </x:c>
    </x:row>
  </x:sheetData>
  <x:conditionalFormatting sqref="E2:E7">
    <x:cfRule type="expression" dxfId="6" priority="1">
      <x:formula>$E2="PASS"</x:formula>
    </x:cfRule>
    <x:cfRule type="expression" dxfId="7" priority="2">
      <x:formula>$E2="FAIL"</x:formula>
    </x:cfRule>
    <x:cfRule type="expression" dxfId="8" priority="3">
      <x:formula>$E2="OPEN_ITEM"</x:formula>
    </x:cfRule>
    <x:cfRule type="expression" dxfId="9" priority="4">
      <x:formula>$E2="CONFLICT"</x:formula>
    </x:cfRule>
    <x:cfRule type="expression" dxfId="10" priority="5">
      <x:formula>$E2="SUPERSEDED"</x:formula>
    </x:cfRule>
    <x:cfRule type="expression" dxfId="11" priority="6">
      <x:formula>$E2="DERIVED"</x:formula>
    </x:cfRule>
  </x:conditionalFormatting>
  <x:pageMargins left="0.7" right="0.7" top="0.75" bottom="0.75" header="0.3" footer="0.3"/>
</x:worksheet>
</file>