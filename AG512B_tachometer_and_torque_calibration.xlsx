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615089c2f42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ment_Register" sheetId="1" r:id="R012bc58a6aea4823"/>
    <x:sheet xmlns:r="http://schemas.openxmlformats.org/officeDocument/2006/relationships" name="Tachometer_Calibration" sheetId="2" r:id="R3fb0f386acfd46be"/>
    <x:sheet xmlns:r="http://schemas.openxmlformats.org/officeDocument/2006/relationships" name="Torque_Calibration" sheetId="3" r:id="R17556d1559ba4d5a"/>
    <x:sheet xmlns:r="http://schemas.openxmlformats.org/officeDocument/2006/relationships" name="Calibration_Points" sheetId="4" r:id="R9617661c915148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</x:cellXfs>
  <x:cellStyles count="1">
    <x:cellStyle name="Normal" xfId="0"/>
  </x:cellStyles>
  <x:dxfs count="24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224b70ac594a92" /><Relationship Type="http://schemas.openxmlformats.org/officeDocument/2006/relationships/theme" Target="/xl/theme/theme1.xml" Id="R9b8e7a5b682248ed" /><Relationship Type="http://schemas.openxmlformats.org/officeDocument/2006/relationships/sharedStrings" Target="/xl/sharedStrings.xml" Id="R2e3801783d564d89" /><Relationship Type="http://schemas.openxmlformats.org/officeDocument/2006/relationships/worksheet" Target="/xl/worksheets/sheet1.xml" Id="R012bc58a6aea4823" /><Relationship Type="http://schemas.openxmlformats.org/officeDocument/2006/relationships/worksheet" Target="/xl/worksheets/sheet2.xml" Id="R3fb0f386acfd46be" /><Relationship Type="http://schemas.openxmlformats.org/officeDocument/2006/relationships/worksheet" Target="/xl/worksheets/sheet3.xml" Id="R17556d1559ba4d5a" /><Relationship Type="http://schemas.openxmlformats.org/officeDocument/2006/relationships/worksheet" Target="/xl/worksheets/sheet4.xml" Id="R9617661c915148a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30" hidden="0" customWidth="1"/>
    <x:col min="5" max="5" width="14" hidden="0" customWidth="1"/>
    <x:col min="6" max="6" width="18" hidden="0" customWidth="1"/>
    <x:col min="7" max="7" width="18" hidden="0" customWidth="1"/>
    <x:col min="8" max="8" width="28" hidden="0" customWidth="1"/>
    <x:col min="9" max="9" width="20" hidden="0" customWidth="1"/>
  </x:cols>
  <x:sheetData>
    <x:row r="1">
      <x:c r="A1" s="18" t="str">
        <x:v>record_id</x:v>
      </x:c>
      <x:c r="B1" s="19" t="str">
        <x:v>instrument_tag</x:v>
      </x:c>
      <x:c r="C1" s="19" t="str">
        <x:v>serial_number</x:v>
      </x:c>
      <x:c r="D1" s="19" t="str">
        <x:v>service</x:v>
      </x:c>
      <x:c r="E1" s="19" t="str">
        <x:v>output_units</x:v>
      </x:c>
      <x:c r="F1" s="19" t="str">
        <x:v>valid_range_lower</x:v>
      </x:c>
      <x:c r="G1" s="19" t="str">
        <x:v>valid_range_upper</x:v>
      </x:c>
      <x:c r="H1" s="19" t="str">
        <x:v>accepted_certificate</x:v>
      </x:c>
      <x:c r="I1" s="20" t="str">
        <x:v>status</x:v>
      </x:c>
    </x:row>
    <x:row r="2">
      <x:c r="A2" s="21" t="str">
        <x:v>CAL-INS-001</x:v>
      </x:c>
      <x:c r="B2" s="15" t="str">
        <x:v>TACH-MTR-512B</x:v>
      </x:c>
      <x:c r="C2" s="15" t="str">
        <x:v>TACH-M-8842</x:v>
      </x:c>
      <x:c r="D2" s="15" t="str">
        <x:v>Motor shaft speed</x:v>
      </x:c>
      <x:c r="E2" s="15" t="str">
        <x:v>rpm</x:v>
      </x:c>
      <x:c r="F2" s="34" t="n">
        <x:v>500</x:v>
      </x:c>
      <x:c r="G2" s="34" t="n">
        <x:v>1800</x:v>
      </x:c>
      <x:c r="H2" s="15" t="str">
        <x:v>CAL-TM512-2026-R1</x:v>
      </x:c>
      <x:c r="I2" s="22" t="str">
        <x:v>ACCEPTED</x:v>
      </x:c>
    </x:row>
    <x:row r="3">
      <x:c r="A3" s="21" t="str">
        <x:v>CAL-INS-002</x:v>
      </x:c>
      <x:c r="B3" s="15" t="str">
        <x:v>TACH-OUT-512B</x:v>
      </x:c>
      <x:c r="C3" s="15" t="str">
        <x:v>TACH-O-4471</x:v>
      </x:c>
      <x:c r="D3" s="15" t="str">
        <x:v>Agitator output speed</x:v>
      </x:c>
      <x:c r="E3" s="15" t="str">
        <x:v>rpm</x:v>
      </x:c>
      <x:c r="F3" s="34" t="n">
        <x:v>20</x:v>
      </x:c>
      <x:c r="G3" s="34" t="n">
        <x:v>100</x:v>
      </x:c>
      <x:c r="H3" s="15" t="str">
        <x:v>CAL-TO512-2026-R1</x:v>
      </x:c>
      <x:c r="I3" s="22" t="str">
        <x:v>ACCEPTED</x:v>
      </x:c>
    </x:row>
    <x:row r="4">
      <x:c r="A4" s="21" t="str">
        <x:v>CAL-INS-003</x:v>
      </x:c>
      <x:c r="B4" s="15" t="str">
        <x:v>TQ-512B</x:v>
      </x:c>
      <x:c r="C4" s="15" t="str">
        <x:v>TQ-6103</x:v>
      </x:c>
      <x:c r="D4" s="15" t="str">
        <x:v>Agitator shaft torque</x:v>
      </x:c>
      <x:c r="E4" s="15" t="str">
        <x:v>N*m</x:v>
      </x:c>
      <x:c r="F4" s="34" t="n">
        <x:v>5000</x:v>
      </x:c>
      <x:c r="G4" s="34" t="n">
        <x:v>21000</x:v>
      </x:c>
      <x:c r="H4" s="15" t="str">
        <x:v>CAL-TQ512-2026-R1</x:v>
      </x:c>
      <x:c r="I4" s="22" t="str">
        <x:v>ACCEPTED</x:v>
      </x:c>
    </x:row>
    <x:row r="5">
      <x:c r="A5" s="23" t="str">
        <x:v>CAL-INS-004</x:v>
      </x:c>
      <x:c r="B5" s="24" t="str">
        <x:v>TACH-OUT-512A</x:v>
      </x:c>
      <x:c r="C5" s="24" t="str">
        <x:v>TACH-O-1180</x:v>
      </x:c>
      <x:c r="D5" s="24" t="str">
        <x:v>Other agitator output speed</x:v>
      </x:c>
      <x:c r="E5" s="24" t="str">
        <x:v>rpm</x:v>
      </x:c>
      <x:c r="F5" s="35" t="n">
        <x:v>20</x:v>
      </x:c>
      <x:c r="G5" s="35" t="n">
        <x:v>100</x:v>
      </x:c>
      <x:c r="H5" s="24" t="str">
        <x:v>CAL-TO512A-2026</x:v>
      </x:c>
      <x:c r="I5" s="25" t="str">
        <x:v>CURRENT_OTHER_ASSET</x:v>
      </x:c>
    </x:row>
  </x:sheetData>
  <x:conditionalFormatting sqref="I2:I5">
    <x:cfRule type="expression" dxfId="0" priority="1">
      <x:formula>$I2="PASS"</x:formula>
    </x:cfRule>
    <x:cfRule type="expression" dxfId="1" priority="2">
      <x:formula>$I2="FAIL"</x:formula>
    </x:cfRule>
    <x:cfRule type="expression" dxfId="2" priority="3">
      <x:formula>$I2="OPEN_ITEM"</x:formula>
    </x:cfRule>
    <x:cfRule type="expression" dxfId="3" priority="4">
      <x:formula>$I2="CONFLICT"</x:formula>
    </x:cfRule>
    <x:cfRule type="expression" dxfId="4" priority="5">
      <x:formula>$I2="SUPERSEDED"</x:formula>
    </x:cfRule>
    <x:cfRule type="expression" dxfId="5" priority="6">
      <x:formula>$I2="DERIVED"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28" hidden="0" customWidth="1"/>
    <x:col min="5" max="5" width="10" hidden="0" customWidth="1"/>
    <x:col min="6" max="6" width="16" hidden="0" customWidth="1"/>
    <x:col min="7" max="7" width="42" hidden="0" customWidth="1"/>
    <x:col min="8" max="8" width="14" hidden="0" customWidth="1"/>
    <x:col min="9" max="9" width="12" hidden="0" customWidth="1"/>
    <x:col min="10" max="10" width="18" hidden="0" customWidth="1"/>
    <x:col min="11" max="11" width="18" hidden="0" customWidth="1"/>
    <x:col min="12" max="12" width="14" hidden="0" customWidth="1"/>
    <x:col min="13" max="13" width="18" hidden="0" customWidth="1"/>
  </x:cols>
  <x:sheetData>
    <x:row r="1">
      <x:c r="A1" s="18" t="str">
        <x:v>record_id</x:v>
      </x:c>
      <x:c r="B1" s="19" t="str">
        <x:v>instrument_tag</x:v>
      </x:c>
      <x:c r="C1" s="19" t="str">
        <x:v>serial_number</x:v>
      </x:c>
      <x:c r="D1" s="19" t="str">
        <x:v>certificate_id</x:v>
      </x:c>
      <x:c r="E1" s="19" t="str">
        <x:v>revision</x:v>
      </x:c>
      <x:c r="F1" s="19" t="str">
        <x:v>record_status</x:v>
      </x:c>
      <x:c r="G1" s="19" t="str">
        <x:v>correction_formula</x:v>
      </x:c>
      <x:c r="H1" s="19" t="str">
        <x:v>scale_factor</x:v>
      </x:c>
      <x:c r="I1" s="19" t="str">
        <x:v>bias</x:v>
      </x:c>
      <x:c r="J1" s="19" t="str">
        <x:v>valid_range_lower</x:v>
      </x:c>
      <x:c r="K1" s="19" t="str">
        <x:v>valid_range_upper</x:v>
      </x:c>
      <x:c r="L1" s="19" t="str">
        <x:v>output_units</x:v>
      </x:c>
      <x:c r="M1" s="20" t="str">
        <x:v>valid_through</x:v>
      </x:c>
    </x:row>
    <x:row r="2">
      <x:c r="A2" s="21" t="str">
        <x:v>TC-001</x:v>
      </x:c>
      <x:c r="B2" s="15" t="str">
        <x:v>TACH-MTR-512B</x:v>
      </x:c>
      <x:c r="C2" s="15" t="str">
        <x:v>TACH-M-8842</x:v>
      </x:c>
      <x:c r="D2" s="15" t="str">
        <x:v>CAL-TM512-2026-R1</x:v>
      </x:c>
      <x:c r="E2" s="15" t="str">
        <x:v>R1</x:v>
      </x:c>
      <x:c r="F2" s="15" t="str">
        <x:v>ACCEPTED</x:v>
      </x:c>
      <x:c r="G2" s="15" t="str">
        <x:v>corrected_rpm = raw_rpm * 1.0018 - 0.60</x:v>
      </x:c>
      <x:c r="H2" s="34" t="n">
        <x:v>1.0018</x:v>
      </x:c>
      <x:c r="I2" s="34" t="n">
        <x:v>-0.6</x:v>
      </x:c>
      <x:c r="J2" s="34" t="n">
        <x:v>500</x:v>
      </x:c>
      <x:c r="K2" s="34" t="n">
        <x:v>1800</x:v>
      </x:c>
      <x:c r="L2" s="15" t="str">
        <x:v>rpm</x:v>
      </x:c>
      <x:c r="M2" s="22" t="str">
        <x:v>2027-06-30</x:v>
      </x:c>
    </x:row>
    <x:row r="3">
      <x:c r="A3" s="21" t="str">
        <x:v>TC-002</x:v>
      </x:c>
      <x:c r="B3" s="15" t="str">
        <x:v>TACH-OUT-512B</x:v>
      </x:c>
      <x:c r="C3" s="15" t="str">
        <x:v>TACH-O-4471</x:v>
      </x:c>
      <x:c r="D3" s="15" t="str">
        <x:v>CAL-TO512-2026-R1</x:v>
      </x:c>
      <x:c r="E3" s="15" t="str">
        <x:v>R1</x:v>
      </x:c>
      <x:c r="F3" s="15" t="str">
        <x:v>ACCEPTED</x:v>
      </x:c>
      <x:c r="G3" s="15" t="str">
        <x:v>corrected_rpm = raw_rpm * 0.9982 + 0.12</x:v>
      </x:c>
      <x:c r="H3" s="34" t="n">
        <x:v>0.9982</x:v>
      </x:c>
      <x:c r="I3" s="34" t="n">
        <x:v>0.12</x:v>
      </x:c>
      <x:c r="J3" s="34" t="n">
        <x:v>20</x:v>
      </x:c>
      <x:c r="K3" s="34" t="n">
        <x:v>100</x:v>
      </x:c>
      <x:c r="L3" s="15" t="str">
        <x:v>rpm</x:v>
      </x:c>
      <x:c r="M3" s="22" t="str">
        <x:v>2027-06-30</x:v>
      </x:c>
    </x:row>
    <x:row r="4">
      <x:c r="A4" s="21" t="str">
        <x:v>TC-003</x:v>
      </x:c>
      <x:c r="B4" s="15" t="str">
        <x:v>TACH-MTR-512B</x:v>
      </x:c>
      <x:c r="C4" s="15" t="str">
        <x:v>TACH-M-8842</x:v>
      </x:c>
      <x:c r="D4" s="15" t="str">
        <x:v>CAL-TM512-2026-R0</x:v>
      </x:c>
      <x:c r="E4" s="15" t="str">
        <x:v>R0</x:v>
      </x:c>
      <x:c r="F4" s="15" t="str">
        <x:v>PRELIMINARY</x:v>
      </x:c>
      <x:c r="G4" s="15" t="str">
        <x:v>corrected_rpm = raw_rpm</x:v>
      </x:c>
      <x:c r="H4" s="34" t="n">
        <x:v>1</x:v>
      </x:c>
      <x:c r="I4" s="34" t="n">
        <x:v>0</x:v>
      </x:c>
      <x:c r="J4" s="34" t="n">
        <x:v>500</x:v>
      </x:c>
      <x:c r="K4" s="34" t="n">
        <x:v>1800</x:v>
      </x:c>
      <x:c r="L4" s="15" t="str">
        <x:v>rpm</x:v>
      </x:c>
      <x:c r="M4" s="22" t="str">
        <x:v>SUPERSEDED</x:v>
      </x:c>
    </x:row>
    <x:row r="5">
      <x:c r="A5" s="23" t="str">
        <x:v>TC-004</x:v>
      </x:c>
      <x:c r="B5" s="24" t="str">
        <x:v>TACH-OUT-512B</x:v>
      </x:c>
      <x:c r="C5" s="24" t="str">
        <x:v>TACH-O-4471</x:v>
      </x:c>
      <x:c r="D5" s="24" t="str">
        <x:v>CAL-TO512-2026-R0</x:v>
      </x:c>
      <x:c r="E5" s="24" t="str">
        <x:v>R0</x:v>
      </x:c>
      <x:c r="F5" s="24" t="str">
        <x:v>PRELIMINARY</x:v>
      </x:c>
      <x:c r="G5" s="24" t="str">
        <x:v>corrected_rpm = raw_rpm / 0.9982</x:v>
      </x:c>
      <x:c r="H5" s="35"/>
      <x:c r="I5" s="35"/>
      <x:c r="J5" s="35" t="n">
        <x:v>20</x:v>
      </x:c>
      <x:c r="K5" s="35" t="n">
        <x:v>100</x:v>
      </x:c>
      <x:c r="L5" s="24" t="str">
        <x:v>rpm</x:v>
      </x:c>
      <x:c r="M5" s="25" t="str">
        <x:v>SUPERSEDED - wrong direction</x:v>
      </x:c>
    </x:row>
  </x:sheetData>
  <x:conditionalFormatting sqref="F2:F5">
    <x:cfRule type="expression" dxfId="6" priority="1">
      <x:formula>$F2="PASS"</x:formula>
    </x:cfRule>
    <x:cfRule type="expression" dxfId="7" priority="2">
      <x:formula>$F2="FAIL"</x:formula>
    </x:cfRule>
    <x:cfRule type="expression" dxfId="8" priority="3">
      <x:formula>$F2="OPEN_ITEM"</x:formula>
    </x:cfRule>
    <x:cfRule type="expression" dxfId="9" priority="4">
      <x:formula>$F2="CONFLICT"</x:formula>
    </x:cfRule>
    <x:cfRule type="expression" dxfId="10" priority="5">
      <x:formula>$F2="SUPERSEDED"</x:formula>
    </x:cfRule>
    <x:cfRule type="expression" dxfId="11" priority="6">
      <x:formula>$F2="DERIVED"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28" hidden="0" customWidth="1"/>
    <x:col min="5" max="5" width="10" hidden="0" customWidth="1"/>
    <x:col min="6" max="6" width="16" hidden="0" customWidth="1"/>
    <x:col min="7" max="7" width="42" hidden="0" customWidth="1"/>
    <x:col min="8" max="8" width="14" hidden="0" customWidth="1"/>
    <x:col min="9" max="9" width="12" hidden="0" customWidth="1"/>
    <x:col min="10" max="10" width="18" hidden="0" customWidth="1"/>
    <x:col min="11" max="11" width="18" hidden="0" customWidth="1"/>
    <x:col min="12" max="12" width="14" hidden="0" customWidth="1"/>
    <x:col min="13" max="13" width="18" hidden="0" customWidth="1"/>
  </x:cols>
  <x:sheetData>
    <x:row r="1">
      <x:c r="A1" s="18" t="str">
        <x:v>record_id</x:v>
      </x:c>
      <x:c r="B1" s="19" t="str">
        <x:v>instrument_tag</x:v>
      </x:c>
      <x:c r="C1" s="19" t="str">
        <x:v>serial_number</x:v>
      </x:c>
      <x:c r="D1" s="19" t="str">
        <x:v>certificate_id</x:v>
      </x:c>
      <x:c r="E1" s="19" t="str">
        <x:v>revision</x:v>
      </x:c>
      <x:c r="F1" s="19" t="str">
        <x:v>record_status</x:v>
      </x:c>
      <x:c r="G1" s="19" t="str">
        <x:v>correction_formula</x:v>
      </x:c>
      <x:c r="H1" s="19" t="str">
        <x:v>scale_factor</x:v>
      </x:c>
      <x:c r="I1" s="19" t="str">
        <x:v>bias</x:v>
      </x:c>
      <x:c r="J1" s="19" t="str">
        <x:v>valid_range_lower</x:v>
      </x:c>
      <x:c r="K1" s="19" t="str">
        <x:v>valid_range_upper</x:v>
      </x:c>
      <x:c r="L1" s="19" t="str">
        <x:v>output_units</x:v>
      </x:c>
      <x:c r="M1" s="20" t="str">
        <x:v>valid_through</x:v>
      </x:c>
    </x:row>
    <x:row r="2">
      <x:c r="A2" s="21" t="str">
        <x:v>TQC-001</x:v>
      </x:c>
      <x:c r="B2" s="15" t="str">
        <x:v>TQ-512B</x:v>
      </x:c>
      <x:c r="C2" s="15" t="str">
        <x:v>TQ-6103</x:v>
      </x:c>
      <x:c r="D2" s="15" t="str">
        <x:v>CAL-TQ512-2026-R1</x:v>
      </x:c>
      <x:c r="E2" s="15" t="str">
        <x:v>R1</x:v>
      </x:c>
      <x:c r="F2" s="15" t="str">
        <x:v>ACCEPTED</x:v>
      </x:c>
      <x:c r="G2" s="15" t="str">
        <x:v>corrected_Nm = raw_Nm * 0.9945 + 32.0</x:v>
      </x:c>
      <x:c r="H2" s="34" t="n">
        <x:v>0.9945</x:v>
      </x:c>
      <x:c r="I2" s="34" t="n">
        <x:v>32</x:v>
      </x:c>
      <x:c r="J2" s="34" t="n">
        <x:v>5000</x:v>
      </x:c>
      <x:c r="K2" s="34" t="n">
        <x:v>21000</x:v>
      </x:c>
      <x:c r="L2" s="15" t="str">
        <x:v>N*m</x:v>
      </x:c>
      <x:c r="M2" s="22" t="str">
        <x:v>2027-06-30</x:v>
      </x:c>
    </x:row>
    <x:row r="3">
      <x:c r="A3" s="21" t="str">
        <x:v>TQC-002</x:v>
      </x:c>
      <x:c r="B3" s="15" t="str">
        <x:v>TQ-512B</x:v>
      </x:c>
      <x:c r="C3" s="15" t="str">
        <x:v>TQ-6103</x:v>
      </x:c>
      <x:c r="D3" s="15" t="str">
        <x:v>CAL-TQ512-2026-R0</x:v>
      </x:c>
      <x:c r="E3" s="15" t="str">
        <x:v>R0</x:v>
      </x:c>
      <x:c r="F3" s="15" t="str">
        <x:v>PRELIMINARY</x:v>
      </x:c>
      <x:c r="G3" s="15" t="str">
        <x:v>corrected_Nm = raw_Nm * 1.0000</x:v>
      </x:c>
      <x:c r="H3" s="34" t="n">
        <x:v>1</x:v>
      </x:c>
      <x:c r="I3" s="34" t="n">
        <x:v>0</x:v>
      </x:c>
      <x:c r="J3" s="34" t="n">
        <x:v>5000</x:v>
      </x:c>
      <x:c r="K3" s="34" t="n">
        <x:v>21000</x:v>
      </x:c>
      <x:c r="L3" s="15" t="str">
        <x:v>N*m</x:v>
      </x:c>
      <x:c r="M3" s="22" t="str">
        <x:v>SUPERSEDED</x:v>
      </x:c>
    </x:row>
    <x:row r="4">
      <x:c r="A4" s="23" t="str">
        <x:v>TQC-003</x:v>
      </x:c>
      <x:c r="B4" s="24" t="str">
        <x:v>TQ-512B</x:v>
      </x:c>
      <x:c r="C4" s="24" t="str">
        <x:v>TQ-4021</x:v>
      </x:c>
      <x:c r="D4" s="24" t="str">
        <x:v>CAL-TQ512-2024</x:v>
      </x:c>
      <x:c r="E4" s="24" t="str">
        <x:v>legacy</x:v>
      </x:c>
      <x:c r="F4" s="24" t="str">
        <x:v>SUPERSEDED</x:v>
      </x:c>
      <x:c r="G4" s="24" t="str">
        <x:v>corrected_Nm = raw_Nm * 1.0060 - 20.0</x:v>
      </x:c>
      <x:c r="H4" s="35" t="n">
        <x:v>1.006</x:v>
      </x:c>
      <x:c r="I4" s="35" t="n">
        <x:v>-20</x:v>
      </x:c>
      <x:c r="J4" s="35" t="n">
        <x:v>4000</x:v>
      </x:c>
      <x:c r="K4" s="35" t="n">
        <x:v>18000</x:v>
      </x:c>
      <x:c r="L4" s="24" t="str">
        <x:v>N*m</x:v>
      </x:c>
      <x:c r="M4" s="25" t="str">
        <x:v>EXPIRED</x:v>
      </x:c>
    </x:row>
  </x:sheetData>
  <x:conditionalFormatting sqref="F2:F4">
    <x:cfRule type="expression" dxfId="12" priority="1">
      <x:formula>$F2="PASS"</x:formula>
    </x:cfRule>
    <x:cfRule type="expression" dxfId="13" priority="2">
      <x:formula>$F2="FAIL"</x:formula>
    </x:cfRule>
    <x:cfRule type="expression" dxfId="14" priority="3">
      <x:formula>$F2="OPEN_ITEM"</x:formula>
    </x:cfRule>
    <x:cfRule type="expression" dxfId="15" priority="4">
      <x:formula>$F2="CONFLICT"</x:formula>
    </x:cfRule>
    <x:cfRule type="expression" dxfId="16" priority="5">
      <x:formula>$F2="SUPERSEDED"</x:formula>
    </x:cfRule>
    <x:cfRule type="expression" dxfId="17" priority="6">
      <x:formula>$F2="DERIVED"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18" hidden="0" customWidth="1"/>
    <x:col min="8" max="8" width="32" hidden="0" customWidth="1"/>
  </x:cols>
  <x:sheetData>
    <x:row r="1">
      <x:c r="A1" s="18" t="str">
        <x:v>point_id</x:v>
      </x:c>
      <x:c r="B1" s="19" t="str">
        <x:v>instrument_tag</x:v>
      </x:c>
      <x:c r="C1" s="19" t="str">
        <x:v>serial_number</x:v>
      </x:c>
      <x:c r="D1" s="19" t="str">
        <x:v>reference_value</x:v>
      </x:c>
      <x:c r="E1" s="19" t="str">
        <x:v>raw_indication</x:v>
      </x:c>
      <x:c r="F1" s="19" t="str">
        <x:v>reference_minus_raw</x:v>
      </x:c>
      <x:c r="G1" s="19" t="str">
        <x:v>record_status</x:v>
      </x:c>
      <x:c r="H1" s="20" t="str">
        <x:v>note</x:v>
      </x:c>
    </x:row>
    <x:row r="2">
      <x:c r="A2" s="21" t="str">
        <x:v>512B-01</x:v>
      </x:c>
      <x:c r="B2" s="15" t="str">
        <x:v>TACH-MTR-512B</x:v>
      </x:c>
      <x:c r="C2" s="15" t="str">
        <x:v>TACH-M-8842</x:v>
      </x:c>
      <x:c r="D2" s="34" t="n">
        <x:v>500</x:v>
      </x:c>
      <x:c r="E2" s="34" t="n">
        <x:v>500.3</x:v>
      </x:c>
      <x:c r="F2" s="34" t="n">
        <x:v>-0.30000000000001137</x:v>
      </x:c>
      <x:c r="G2" s="15" t="str">
        <x:v>ACCEPTED</x:v>
      </x:c>
      <x:c r="H2" s="22" t="str">
        <x:v>Ascending point</x:v>
      </x:c>
    </x:row>
    <x:row r="3">
      <x:c r="A3" s="21" t="str">
        <x:v>512B-02</x:v>
      </x:c>
      <x:c r="B3" s="15" t="str">
        <x:v>TACH-MTR-512B</x:v>
      </x:c>
      <x:c r="C3" s="15" t="str">
        <x:v>TACH-M-8842</x:v>
      </x:c>
      <x:c r="D3" s="34" t="n">
        <x:v>900</x:v>
      </x:c>
      <x:c r="E3" s="34" t="n">
        <x:v>899</x:v>
      </x:c>
      <x:c r="F3" s="34" t="n">
        <x:v>1</x:v>
      </x:c>
      <x:c r="G3" s="15" t="str">
        <x:v>ACCEPTED</x:v>
      </x:c>
      <x:c r="H3" s="22" t="str">
        <x:v>Ascending point</x:v>
      </x:c>
    </x:row>
    <x:row r="4">
      <x:c r="A4" s="21" t="str">
        <x:v>512B-03</x:v>
      </x:c>
      <x:c r="B4" s="15" t="str">
        <x:v>TACH-MTR-512B</x:v>
      </x:c>
      <x:c r="C4" s="15" t="str">
        <x:v>TACH-M-8842</x:v>
      </x:c>
      <x:c r="D4" s="34" t="n">
        <x:v>1200</x:v>
      </x:c>
      <x:c r="E4" s="34" t="n">
        <x:v>1198.5</x:v>
      </x:c>
      <x:c r="F4" s="34" t="n">
        <x:v>1.5</x:v>
      </x:c>
      <x:c r="G4" s="15" t="str">
        <x:v>ACCEPTED</x:v>
      </x:c>
      <x:c r="H4" s="22" t="str">
        <x:v>Ascending point</x:v>
      </x:c>
    </x:row>
    <x:row r="5">
      <x:c r="A5" s="21" t="str">
        <x:v>512B-04</x:v>
      </x:c>
      <x:c r="B5" s="15" t="str">
        <x:v>TACH-MTR-512B</x:v>
      </x:c>
      <x:c r="C5" s="15" t="str">
        <x:v>TACH-M-8842</x:v>
      </x:c>
      <x:c r="D5" s="34" t="n">
        <x:v>1500</x:v>
      </x:c>
      <x:c r="E5" s="34" t="n">
        <x:v>1497.9</x:v>
      </x:c>
      <x:c r="F5" s="34" t="n">
        <x:v>2.099999999999909</x:v>
      </x:c>
      <x:c r="G5" s="15" t="str">
        <x:v>ACCEPTED</x:v>
      </x:c>
      <x:c r="H5" s="22" t="str">
        <x:v>Ascending point</x:v>
      </x:c>
    </x:row>
    <x:row r="6">
      <x:c r="A6" s="21" t="str">
        <x:v>512B-05</x:v>
      </x:c>
      <x:c r="B6" s="15" t="str">
        <x:v>TACH-MTR-512B</x:v>
      </x:c>
      <x:c r="C6" s="15" t="str">
        <x:v>TACH-M-8842</x:v>
      </x:c>
      <x:c r="D6" s="34" t="n">
        <x:v>1800</x:v>
      </x:c>
      <x:c r="E6" s="34" t="n">
        <x:v>1796.8</x:v>
      </x:c>
      <x:c r="F6" s="34" t="n">
        <x:v>3.2000000000000455</x:v>
      </x:c>
      <x:c r="G6" s="15" t="str">
        <x:v>ACCEPTED</x:v>
      </x:c>
      <x:c r="H6" s="22" t="str">
        <x:v>Ascending point</x:v>
      </x:c>
    </x:row>
    <x:row r="7">
      <x:c r="A7" s="21" t="str">
        <x:v>512B-01</x:v>
      </x:c>
      <x:c r="B7" s="15" t="str">
        <x:v>TACH-OUT-512B</x:v>
      </x:c>
      <x:c r="C7" s="15" t="str">
        <x:v>TACH-O-4471</x:v>
      </x:c>
      <x:c r="D7" s="34" t="n">
        <x:v>20</x:v>
      </x:c>
      <x:c r="E7" s="34" t="n">
        <x:v>19.92</x:v>
      </x:c>
      <x:c r="F7" s="34" t="n">
        <x:v>0.0799999999999983</x:v>
      </x:c>
      <x:c r="G7" s="15" t="str">
        <x:v>ACCEPTED</x:v>
      </x:c>
      <x:c r="H7" s="22" t="str">
        <x:v>Ascending point</x:v>
      </x:c>
    </x:row>
    <x:row r="8">
      <x:c r="A8" s="21" t="str">
        <x:v>512B-02</x:v>
      </x:c>
      <x:c r="B8" s="15" t="str">
        <x:v>TACH-OUT-512B</x:v>
      </x:c>
      <x:c r="C8" s="15" t="str">
        <x:v>TACH-O-4471</x:v>
      </x:c>
      <x:c r="D8" s="34" t="n">
        <x:v>40</x:v>
      </x:c>
      <x:c r="E8" s="34" t="n">
        <x:v>39.95</x:v>
      </x:c>
      <x:c r="F8" s="34" t="n">
        <x:v>0.04999999999999716</x:v>
      </x:c>
      <x:c r="G8" s="15" t="str">
        <x:v>ACCEPTED</x:v>
      </x:c>
      <x:c r="H8" s="22" t="str">
        <x:v>Ascending point</x:v>
      </x:c>
    </x:row>
    <x:row r="9">
      <x:c r="A9" s="21" t="str">
        <x:v>512B-03</x:v>
      </x:c>
      <x:c r="B9" s="15" t="str">
        <x:v>TACH-OUT-512B</x:v>
      </x:c>
      <x:c r="C9" s="15" t="str">
        <x:v>TACH-O-4471</x:v>
      </x:c>
      <x:c r="D9" s="34" t="n">
        <x:v>60</x:v>
      </x:c>
      <x:c r="E9" s="34" t="n">
        <x:v>60</x:v>
      </x:c>
      <x:c r="F9" s="34" t="n">
        <x:v>0</x:v>
      </x:c>
      <x:c r="G9" s="15" t="str">
        <x:v>ACCEPTED</x:v>
      </x:c>
      <x:c r="H9" s="22" t="str">
        <x:v>Ascending point</x:v>
      </x:c>
    </x:row>
    <x:row r="10">
      <x:c r="A10" s="21" t="str">
        <x:v>512B-04</x:v>
      </x:c>
      <x:c r="B10" s="15" t="str">
        <x:v>TACH-OUT-512B</x:v>
      </x:c>
      <x:c r="C10" s="15" t="str">
        <x:v>TACH-O-4471</x:v>
      </x:c>
      <x:c r="D10" s="34" t="n">
        <x:v>80</x:v>
      </x:c>
      <x:c r="E10" s="34" t="n">
        <x:v>80.02</x:v>
      </x:c>
      <x:c r="F10" s="34" t="n">
        <x:v>-0.01999999999999602</x:v>
      </x:c>
      <x:c r="G10" s="15" t="str">
        <x:v>ACCEPTED</x:v>
      </x:c>
      <x:c r="H10" s="22" t="str">
        <x:v>Ascending point</x:v>
      </x:c>
    </x:row>
    <x:row r="11">
      <x:c r="A11" s="21" t="str">
        <x:v>512B-05</x:v>
      </x:c>
      <x:c r="B11" s="15" t="str">
        <x:v>TACH-OUT-512B</x:v>
      </x:c>
      <x:c r="C11" s="15" t="str">
        <x:v>TACH-O-4471</x:v>
      </x:c>
      <x:c r="D11" s="34" t="n">
        <x:v>100</x:v>
      </x:c>
      <x:c r="E11" s="34" t="n">
        <x:v>100.06</x:v>
      </x:c>
      <x:c r="F11" s="34" t="n">
        <x:v>-0.060000000000002274</x:v>
      </x:c>
      <x:c r="G11" s="15" t="str">
        <x:v>ACCEPTED</x:v>
      </x:c>
      <x:c r="H11" s="22" t="str">
        <x:v>Ascending point</x:v>
      </x:c>
    </x:row>
    <x:row r="12">
      <x:c r="A12" s="21" t="str">
        <x:v>512B-01</x:v>
      </x:c>
      <x:c r="B12" s="15" t="str">
        <x:v>TQ-512B</x:v>
      </x:c>
      <x:c r="C12" s="15" t="str">
        <x:v>TQ-6103</x:v>
      </x:c>
      <x:c r="D12" s="34" t="n">
        <x:v>5000</x:v>
      </x:c>
      <x:c r="E12" s="34" t="n">
        <x:v>4995</x:v>
      </x:c>
      <x:c r="F12" s="34" t="n">
        <x:v>5</x:v>
      </x:c>
      <x:c r="G12" s="15" t="str">
        <x:v>ACCEPTED</x:v>
      </x:c>
      <x:c r="H12" s="22" t="str">
        <x:v>Ascending point</x:v>
      </x:c>
    </x:row>
    <x:row r="13">
      <x:c r="A13" s="21" t="str">
        <x:v>512B-02</x:v>
      </x:c>
      <x:c r="B13" s="15" t="str">
        <x:v>TQ-512B</x:v>
      </x:c>
      <x:c r="C13" s="15" t="str">
        <x:v>TQ-6103</x:v>
      </x:c>
      <x:c r="D13" s="34" t="n">
        <x:v>9000</x:v>
      </x:c>
      <x:c r="E13" s="34" t="n">
        <x:v>9018</x:v>
      </x:c>
      <x:c r="F13" s="34" t="n">
        <x:v>-18</x:v>
      </x:c>
      <x:c r="G13" s="15" t="str">
        <x:v>ACCEPTED</x:v>
      </x:c>
      <x:c r="H13" s="22" t="str">
        <x:v>Ascending point</x:v>
      </x:c>
    </x:row>
    <x:row r="14">
      <x:c r="A14" s="21" t="str">
        <x:v>512B-03</x:v>
      </x:c>
      <x:c r="B14" s="15" t="str">
        <x:v>TQ-512B</x:v>
      </x:c>
      <x:c r="C14" s="15" t="str">
        <x:v>TQ-6103</x:v>
      </x:c>
      <x:c r="D14" s="34" t="n">
        <x:v>13000</x:v>
      </x:c>
      <x:c r="E14" s="34" t="n">
        <x:v>13040</x:v>
      </x:c>
      <x:c r="F14" s="34" t="n">
        <x:v>-40</x:v>
      </x:c>
      <x:c r="G14" s="15" t="str">
        <x:v>ACCEPTED</x:v>
      </x:c>
      <x:c r="H14" s="22" t="str">
        <x:v>Ascending point</x:v>
      </x:c>
    </x:row>
    <x:row r="15">
      <x:c r="A15" s="21" t="str">
        <x:v>512B-04</x:v>
      </x:c>
      <x:c r="B15" s="15" t="str">
        <x:v>TQ-512B</x:v>
      </x:c>
      <x:c r="C15" s="15" t="str">
        <x:v>TQ-6103</x:v>
      </x:c>
      <x:c r="D15" s="34" t="n">
        <x:v>17000</x:v>
      </x:c>
      <x:c r="E15" s="34" t="n">
        <x:v>17062</x:v>
      </x:c>
      <x:c r="F15" s="34" t="n">
        <x:v>-62</x:v>
      </x:c>
      <x:c r="G15" s="15" t="str">
        <x:v>ACCEPTED</x:v>
      </x:c>
      <x:c r="H15" s="22" t="str">
        <x:v>Ascending point</x:v>
      </x:c>
    </x:row>
    <x:row r="16">
      <x:c r="A16" s="21" t="str">
        <x:v>512B-05</x:v>
      </x:c>
      <x:c r="B16" s="15" t="str">
        <x:v>TQ-512B</x:v>
      </x:c>
      <x:c r="C16" s="15" t="str">
        <x:v>TQ-6103</x:v>
      </x:c>
      <x:c r="D16" s="34" t="n">
        <x:v>21000</x:v>
      </x:c>
      <x:c r="E16" s="34" t="n">
        <x:v>21085</x:v>
      </x:c>
      <x:c r="F16" s="34" t="n">
        <x:v>-85</x:v>
      </x:c>
      <x:c r="G16" s="15" t="str">
        <x:v>ACCEPTED</x:v>
      </x:c>
      <x:c r="H16" s="22" t="str">
        <x:v>Ascending point</x:v>
      </x:c>
    </x:row>
    <x:row r="17">
      <x:c r="A17" s="23" t="str">
        <x:v>DUP-PT-01</x:v>
      </x:c>
      <x:c r="B17" s="24" t="str">
        <x:v>TQ-512B</x:v>
      </x:c>
      <x:c r="C17" s="24" t="str">
        <x:v>TQ-6103</x:v>
      </x:c>
      <x:c r="D17" s="35" t="n">
        <x:v>13000</x:v>
      </x:c>
      <x:c r="E17" s="35" t="n">
        <x:v>13040</x:v>
      </x:c>
      <x:c r="F17" s="35" t="n">
        <x:v>-40</x:v>
      </x:c>
      <x:c r="G17" s="24" t="str">
        <x:v>DUPLICATE_COPY</x:v>
      </x:c>
      <x:c r="H17" s="25" t="str">
        <x:v>Duplicate of TQ-03</x:v>
      </x:c>
    </x:row>
  </x:sheetData>
  <x:conditionalFormatting sqref="G2:G17">
    <x:cfRule type="expression" dxfId="18" priority="1">
      <x:formula>$G2="PASS"</x:formula>
    </x:cfRule>
    <x:cfRule type="expression" dxfId="19" priority="2">
      <x:formula>$G2="FAIL"</x:formula>
    </x:cfRule>
    <x:cfRule type="expression" dxfId="20" priority="3">
      <x:formula>$G2="OPEN_ITEM"</x:formula>
    </x:cfRule>
    <x:cfRule type="expression" dxfId="21" priority="4">
      <x:formula>$G2="CONFLICT"</x:formula>
    </x:cfRule>
    <x:cfRule type="expression" dxfId="22" priority="5">
      <x:formula>$G2="SUPERSEDED"</x:formula>
    </x:cfRule>
    <x:cfRule type="expression" dxfId="23" priority="6">
      <x:formula>$G2="DERIVED"</x:formula>
    </x:cfRule>
  </x:conditionalFormatting>
  <x:pageMargins left="0.7" right="0.7" top="0.75" bottom="0.75" header="0.3" footer="0.3"/>
</x:worksheet>
</file>